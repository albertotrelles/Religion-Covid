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LBERTO TRELLES\Dropbox\Religion-Covid\"/>
    </mc:Choice>
  </mc:AlternateContent>
  <xr:revisionPtr revIDLastSave="0" documentId="13_ncr:1_{1F6500FC-045E-486E-B49C-F1791034389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opics" sheetId="5" r:id="rId1"/>
    <sheet name="Words" sheetId="1" r:id="rId2"/>
    <sheet name="Hoja1" sheetId="4" r:id="rId3"/>
    <sheet name="AB" sheetId="2" r:id="rId4"/>
    <sheet name="A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5" l="1"/>
  <c r="A21" i="5"/>
  <c r="A22" i="5"/>
  <c r="A23" i="5"/>
  <c r="A24" i="5" s="1"/>
  <c r="A25" i="5" s="1"/>
  <c r="A26" i="5" s="1"/>
  <c r="A27" i="5" s="1"/>
  <c r="A28" i="5" s="1"/>
  <c r="A29" i="5" s="1"/>
  <c r="A30" i="5" s="1"/>
  <c r="A31" i="5" s="1"/>
  <c r="A19" i="5"/>
</calcChain>
</file>

<file path=xl/sharedStrings.xml><?xml version="1.0" encoding="utf-8"?>
<sst xmlns="http://schemas.openxmlformats.org/spreadsheetml/2006/main" count="454" uniqueCount="214">
  <si>
    <t>Austria</t>
  </si>
  <si>
    <t>France</t>
  </si>
  <si>
    <t>Germany</t>
  </si>
  <si>
    <t>Ireland</t>
  </si>
  <si>
    <t>Italy</t>
  </si>
  <si>
    <t>Netherlands</t>
  </si>
  <si>
    <t>Potugal</t>
  </si>
  <si>
    <t>Spain</t>
  </si>
  <si>
    <t>Switzerland</t>
  </si>
  <si>
    <t>United Kingdom</t>
  </si>
  <si>
    <t>Language</t>
  </si>
  <si>
    <t>German</t>
  </si>
  <si>
    <t>French</t>
  </si>
  <si>
    <t>English</t>
  </si>
  <si>
    <t>Italian</t>
  </si>
  <si>
    <t>Dutch</t>
  </si>
  <si>
    <t>Portuguese</t>
  </si>
  <si>
    <t>Spanish</t>
  </si>
  <si>
    <t>Church</t>
  </si>
  <si>
    <t>Country</t>
  </si>
  <si>
    <t>Id</t>
  </si>
  <si>
    <t>Kirche</t>
  </si>
  <si>
    <t>Église</t>
  </si>
  <si>
    <t>Iglesia</t>
  </si>
  <si>
    <t>Igreja</t>
  </si>
  <si>
    <t>Chiesa</t>
  </si>
  <si>
    <t>Kerk</t>
  </si>
  <si>
    <t>Code</t>
  </si>
  <si>
    <t>AT</t>
  </si>
  <si>
    <t>FR</t>
  </si>
  <si>
    <t>DE</t>
  </si>
  <si>
    <t>IE</t>
  </si>
  <si>
    <t>IT</t>
  </si>
  <si>
    <t>NL</t>
  </si>
  <si>
    <t>PT</t>
  </si>
  <si>
    <t>ES</t>
  </si>
  <si>
    <t>CH</t>
  </si>
  <si>
    <t>GB</t>
  </si>
  <si>
    <t>Religion</t>
  </si>
  <si>
    <t>Dios</t>
  </si>
  <si>
    <t>Salvación</t>
  </si>
  <si>
    <t>Diablo</t>
  </si>
  <si>
    <t>Demonio</t>
  </si>
  <si>
    <t xml:space="preserve">Oración </t>
  </si>
  <si>
    <t>Misa</t>
  </si>
  <si>
    <t>(Complicado por ingles)</t>
  </si>
  <si>
    <t>Pecado</t>
  </si>
  <si>
    <t>(Prayer)</t>
  </si>
  <si>
    <t>Resurrección</t>
  </si>
  <si>
    <t>Espiritualidad</t>
  </si>
  <si>
    <t xml:space="preserve">Fe </t>
  </si>
  <si>
    <t>(buscar como tópico)</t>
  </si>
  <si>
    <t>(si se puede buscar como tópico)</t>
  </si>
  <si>
    <t>Religione</t>
  </si>
  <si>
    <t>Religión</t>
  </si>
  <si>
    <t>Religião</t>
  </si>
  <si>
    <t>Religie</t>
  </si>
  <si>
    <t>%2Fm%2F06bvp</t>
  </si>
  <si>
    <t>Gebet</t>
  </si>
  <si>
    <t>Prayer</t>
  </si>
  <si>
    <t>Prière</t>
  </si>
  <si>
    <t>Preghiera</t>
  </si>
  <si>
    <t>Gebed</t>
  </si>
  <si>
    <t>Oração</t>
  </si>
  <si>
    <t>Oración</t>
  </si>
  <si>
    <t>!Add category for Oración</t>
  </si>
  <si>
    <t>Posibles palabras</t>
  </si>
  <si>
    <t>term_t = b0 + b1 * new_cases_{t-1} + e_t</t>
  </si>
  <si>
    <t>Arellano bond  para ver variación exógena en las muertes??</t>
  </si>
  <si>
    <t>Sin</t>
  </si>
  <si>
    <t>God</t>
  </si>
  <si>
    <t>Spirituality</t>
  </si>
  <si>
    <t>Faith</t>
  </si>
  <si>
    <t>Devil</t>
  </si>
  <si>
    <t>Meditation</t>
  </si>
  <si>
    <t>Confession</t>
  </si>
  <si>
    <t>Repentance</t>
  </si>
  <si>
    <t>Mass</t>
  </si>
  <si>
    <t>Category</t>
  </si>
  <si>
    <t>Online Church</t>
  </si>
  <si>
    <t>Bible Study</t>
  </si>
  <si>
    <t>Hope</t>
  </si>
  <si>
    <t>Sünde</t>
  </si>
  <si>
    <t>Gott</t>
  </si>
  <si>
    <t>Spiritualität</t>
  </si>
  <si>
    <t>Glaube</t>
  </si>
  <si>
    <t>Teufel</t>
  </si>
  <si>
    <t>Beichte</t>
  </si>
  <si>
    <t>Reue</t>
  </si>
  <si>
    <t>Messe</t>
  </si>
  <si>
    <t>Online-Kirche</t>
  </si>
  <si>
    <t>Bibelstudium</t>
  </si>
  <si>
    <t>Hoffnung</t>
  </si>
  <si>
    <t>Péché</t>
  </si>
  <si>
    <t>Dieu</t>
  </si>
  <si>
    <t>Spiritualité</t>
  </si>
  <si>
    <t>Foi</t>
  </si>
  <si>
    <t>Diable</t>
  </si>
  <si>
    <t>Méditation</t>
  </si>
  <si>
    <t>Repentir</t>
  </si>
  <si>
    <t>Église en ligne</t>
  </si>
  <si>
    <t>Étude biblique</t>
  </si>
  <si>
    <t>Espoir</t>
  </si>
  <si>
    <t>Peccato</t>
  </si>
  <si>
    <t>Dio</t>
  </si>
  <si>
    <t>Spiritualità</t>
  </si>
  <si>
    <t>Fede</t>
  </si>
  <si>
    <t>Diavolo</t>
  </si>
  <si>
    <t>Meditazione</t>
  </si>
  <si>
    <t>Confessione</t>
  </si>
  <si>
    <t>Pentimento</t>
  </si>
  <si>
    <t>Messa</t>
  </si>
  <si>
    <t>Chiesa online</t>
  </si>
  <si>
    <t>Studio biblico</t>
  </si>
  <si>
    <t>Speranza</t>
  </si>
  <si>
    <t>Zonde</t>
  </si>
  <si>
    <t>Spiritualiteit</t>
  </si>
  <si>
    <t>Geloof</t>
  </si>
  <si>
    <t>Duivel</t>
  </si>
  <si>
    <t>Meditatie</t>
  </si>
  <si>
    <t>Biecht</t>
  </si>
  <si>
    <t>Berouw</t>
  </si>
  <si>
    <t>Mis</t>
  </si>
  <si>
    <t>Online Kerk</t>
  </si>
  <si>
    <t>Bijbelstudie</t>
  </si>
  <si>
    <t>Hoop</t>
  </si>
  <si>
    <t>Portugal</t>
  </si>
  <si>
    <t>Deus</t>
  </si>
  <si>
    <t>Espiritualidade</t>
  </si>
  <si>
    <t>Fé</t>
  </si>
  <si>
    <t>Diabo</t>
  </si>
  <si>
    <t>Meditação</t>
  </si>
  <si>
    <t>Confissão</t>
  </si>
  <si>
    <t>Arrependimento</t>
  </si>
  <si>
    <t>Missa</t>
  </si>
  <si>
    <t>Igreja online</t>
  </si>
  <si>
    <t>Estudo bíblico</t>
  </si>
  <si>
    <t>Esperança</t>
  </si>
  <si>
    <t>Fe</t>
  </si>
  <si>
    <t>Meditación</t>
  </si>
  <si>
    <t>Confesión</t>
  </si>
  <si>
    <t>Arrepentimiento</t>
  </si>
  <si>
    <t>Iglesia en línea</t>
  </si>
  <si>
    <t>Estudio bíblico</t>
  </si>
  <si>
    <t>Esperanza</t>
  </si>
  <si>
    <t>G1</t>
  </si>
  <si>
    <t>NO DATA</t>
  </si>
  <si>
    <t>CAT 59</t>
  </si>
  <si>
    <t>https://trends.google.es/trends/explore?date=2018-12-30%202019-04-10&amp;geo=GB&amp;q=%2Fm%2F03bty4x&amp;hl=en</t>
  </si>
  <si>
    <t>https://trends.google.es/trends/explore?date=2018-12-30%202019-04-10&amp;geo=GB&amp;q=%2Fm%2F06bvp&amp;hl=en</t>
  </si>
  <si>
    <t>%2Fm%2F03bty4x</t>
  </si>
  <si>
    <t xml:space="preserve">Prayer </t>
  </si>
  <si>
    <t>https://trends.google.es/trends/explore?date=2018-12-30%202019-04-10&amp;geo=GB&amp;q=%2Fm%2F0687y&amp;hl=en</t>
  </si>
  <si>
    <t>(For the UK, same topic label for all countries)</t>
  </si>
  <si>
    <t>%2Fm%2F0687y</t>
  </si>
  <si>
    <t>https://trends.google.es/trends/explore?cat=59&amp;date=2018-12-30%202019-04-10&amp;geo=GB&amp;q=%2Fm%2F0687y&amp;hl=en</t>
  </si>
  <si>
    <t>(with category Peoplye &amp; Society &gt; Religion and Belief)</t>
  </si>
  <si>
    <r>
      <t xml:space="preserve">category = </t>
    </r>
    <r>
      <rPr>
        <sz val="11"/>
        <color rgb="FF116644"/>
        <rFont val="Courier New"/>
        <family val="3"/>
      </rPr>
      <t>59</t>
    </r>
    <r>
      <rPr>
        <sz val="11"/>
        <color rgb="FF000000"/>
        <rFont val="Courier New"/>
        <family val="3"/>
      </rPr>
      <t xml:space="preserve">  </t>
    </r>
    <r>
      <rPr>
        <sz val="11"/>
        <color rgb="FF008000"/>
        <rFont val="Courier New"/>
        <family val="3"/>
      </rPr>
      <t>#People &amp; Society --&gt; Religion &amp; Belief</t>
    </r>
  </si>
  <si>
    <t>People &amp; Society: 14</t>
  </si>
  <si>
    <t>BE</t>
  </si>
  <si>
    <t>Belgium</t>
  </si>
  <si>
    <t>LU</t>
  </si>
  <si>
    <t>Luxembourg</t>
  </si>
  <si>
    <t>NO DATA FOR LUXEMBOURG (6) in 2019</t>
  </si>
  <si>
    <t>No data for Religion in LU</t>
  </si>
  <si>
    <t>word</t>
  </si>
  <si>
    <t>mid</t>
  </si>
  <si>
    <t>encoded</t>
  </si>
  <si>
    <t>/m/06bvp</t>
  </si>
  <si>
    <t>/m/03bty4x</t>
  </si>
  <si>
    <t>/m/0687y</t>
  </si>
  <si>
    <t>/m/0d05l6</t>
  </si>
  <si>
    <t>/m/02zq2</t>
  </si>
  <si>
    <t>/m/0517l</t>
  </si>
  <si>
    <t>/m/01fvbn</t>
  </si>
  <si>
    <t>/m/014syz</t>
  </si>
  <si>
    <t>Atheism</t>
  </si>
  <si>
    <t>/m/0kpl</t>
  </si>
  <si>
    <t>%2Fm%2F02zq2</t>
  </si>
  <si>
    <t>%2Fm%2F0d05l6</t>
  </si>
  <si>
    <t>%2Fm%2F0517l</t>
  </si>
  <si>
    <t>%2Fm%2F01fvbn</t>
  </si>
  <si>
    <t>%2Fm%2F014syz</t>
  </si>
  <si>
    <t>%2Fm%2F0kpl</t>
  </si>
  <si>
    <t>Religion: %2Fm%2F06bvp Spirituality: %2Fm%2F03bty4x Prayer: %2Fm%2F0687y Faith: %2Fm%2F02zq2 God: %2Fm%2F0d05l6 Meditation: %2Fm%2F0517l Confession: %2Fm%2F01fvbn Repentance: %2Fm%2F014syz Atheism: %2Fm%2F0kpl</t>
  </si>
  <si>
    <t>Not enough data</t>
  </si>
  <si>
    <t>in folder</t>
  </si>
  <si>
    <t>LU19 empty</t>
  </si>
  <si>
    <t>LU20 empty</t>
  </si>
  <si>
    <t>cat59 faith no data for 2019</t>
  </si>
  <si>
    <t>Not enough data for fait cat59</t>
  </si>
  <si>
    <t>cat59 med no data for 2019 or 2020</t>
  </si>
  <si>
    <t>Subcategories</t>
  </si>
  <si>
    <t>https://trends.google.com/trends/explore?date=2018-12-30%202019-04-10&amp;geo=AT&amp;q=%2Fm%2F06bvp&amp;hl=en</t>
  </si>
  <si>
    <t>https://trends.google.com/trends/explore?cat=448&amp;date=2018-12-30%202019-04-10&amp;geo=AT&amp;q=%2Fm%2F06bvp&amp;hl=en</t>
  </si>
  <si>
    <t>subcat</t>
  </si>
  <si>
    <t>number</t>
  </si>
  <si>
    <t>https://trends.google.com/trends/explore?cat=448&amp;date=2018-12-30%202019-04-10&amp;geo=AT&amp;hl=en</t>
  </si>
  <si>
    <t>No topic/word search, just subcategory 448</t>
  </si>
  <si>
    <t>Astrology &amp; Divination</t>
  </si>
  <si>
    <t>https://trends.google.com/trends/explore?cat=862&amp;date=2018-12-30%202019-04-10&amp;geo=AT&amp;hl=en</t>
  </si>
  <si>
    <t>Buddhism</t>
  </si>
  <si>
    <t>Christianity</t>
  </si>
  <si>
    <t>Hinduism</t>
  </si>
  <si>
    <t>Islam</t>
  </si>
  <si>
    <t>Judaism</t>
  </si>
  <si>
    <t>Occult &amp; Paranormal</t>
  </si>
  <si>
    <t>Pagan &amp; Esoteric Traditions</t>
  </si>
  <si>
    <t>Places of Workship</t>
  </si>
  <si>
    <t>Scientology</t>
  </si>
  <si>
    <t>Self-Help &amp; Motivational</t>
  </si>
  <si>
    <t>Skeptic &amp; Non-Believers</t>
  </si>
  <si>
    <t>Theology &amp; Religious Study</t>
  </si>
  <si>
    <t>no data LU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</si>
</sst>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ourier New"/>
      <family val="3"/>
    </font>
    <font>
      <sz val="11"/>
      <color rgb="FF116644"/>
      <name val="Courier New"/>
      <family val="3"/>
    </font>
    <font>
      <sz val="11"/>
      <color rgb="FF008000"/>
      <name val="Courier New"/>
      <family val="3"/>
    </font>
    <font>
      <sz val="12"/>
      <color rgb="FF1F2328"/>
      <name val="Segoe UI"/>
      <family val="2"/>
    </font>
    <font>
      <sz val="11"/>
      <color rgb="FF1F1F1F"/>
      <name val="Courier New"/>
      <family val="3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0" borderId="0" xfId="1"/>
    <xf numFmtId="0" fontId="3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171450</xdr:rowOff>
    </xdr:from>
    <xdr:to>
      <xdr:col>15</xdr:col>
      <xdr:colOff>9952</xdr:colOff>
      <xdr:row>33</xdr:row>
      <xdr:rowOff>162615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CC5759-BADB-0C9B-B023-11B515B01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1533525"/>
          <a:ext cx="3057952" cy="4944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rends.google.es/trends/explore?date=2018-12-30%202019-04-10&amp;geo=GB&amp;q=%2Fm%2F0687y&amp;hl=en" TargetMode="External"/><Relationship Id="rId2" Type="http://schemas.openxmlformats.org/officeDocument/2006/relationships/hyperlink" Target="https://trends.google.es/trends/explore?date=2018-12-30%202019-04-10&amp;geo=GB&amp;q=%2Fm%2F06bvp&amp;hl=en" TargetMode="External"/><Relationship Id="rId1" Type="http://schemas.openxmlformats.org/officeDocument/2006/relationships/hyperlink" Target="https://trends.google.es/trends/explore?date=2018-12-30%202019-04-10&amp;geo=GB&amp;q=%2Fm%2F03bty4x&amp;hl=e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F9BC-4249-484F-8CA6-7B68759BB43F}">
  <dimension ref="A3:Q31"/>
  <sheetViews>
    <sheetView tabSelected="1" topLeftCell="A4" workbookViewId="0">
      <selection activeCell="H25" sqref="H25"/>
    </sheetView>
  </sheetViews>
  <sheetFormatPr baseColWidth="10" defaultRowHeight="14.5" x14ac:dyDescent="0.35"/>
  <cols>
    <col min="1" max="1" width="15.7265625" bestFit="1" customWidth="1"/>
    <col min="2" max="2" width="23.6328125" bestFit="1" customWidth="1"/>
    <col min="3" max="3" width="11.26953125" bestFit="1" customWidth="1"/>
    <col min="4" max="4" width="16.81640625" bestFit="1" customWidth="1"/>
  </cols>
  <sheetData>
    <row r="3" spans="1:17" x14ac:dyDescent="0.35">
      <c r="B3" t="s">
        <v>165</v>
      </c>
      <c r="C3" t="s">
        <v>166</v>
      </c>
      <c r="D3" t="s">
        <v>167</v>
      </c>
      <c r="E3" t="s">
        <v>186</v>
      </c>
      <c r="K3" s="1" t="s">
        <v>20</v>
      </c>
      <c r="L3" s="1" t="s">
        <v>19</v>
      </c>
      <c r="M3" s="1" t="s">
        <v>27</v>
      </c>
    </row>
    <row r="4" spans="1:17" x14ac:dyDescent="0.35">
      <c r="B4" t="s">
        <v>38</v>
      </c>
      <c r="C4" t="s">
        <v>168</v>
      </c>
      <c r="D4" t="s">
        <v>57</v>
      </c>
      <c r="E4">
        <v>1</v>
      </c>
      <c r="K4">
        <v>0</v>
      </c>
      <c r="L4" t="s">
        <v>0</v>
      </c>
      <c r="M4" t="s">
        <v>28</v>
      </c>
    </row>
    <row r="5" spans="1:17" x14ac:dyDescent="0.35">
      <c r="B5" t="s">
        <v>71</v>
      </c>
      <c r="C5" t="s">
        <v>169</v>
      </c>
      <c r="D5" t="s">
        <v>150</v>
      </c>
      <c r="E5">
        <v>1</v>
      </c>
      <c r="K5">
        <v>1</v>
      </c>
      <c r="L5" t="s">
        <v>160</v>
      </c>
      <c r="M5" t="s">
        <v>159</v>
      </c>
    </row>
    <row r="6" spans="1:17" x14ac:dyDescent="0.35">
      <c r="B6" t="s">
        <v>59</v>
      </c>
      <c r="C6" t="s">
        <v>170</v>
      </c>
      <c r="D6" t="s">
        <v>154</v>
      </c>
      <c r="E6">
        <v>1</v>
      </c>
      <c r="K6">
        <v>2</v>
      </c>
      <c r="L6" t="s">
        <v>1</v>
      </c>
      <c r="M6" t="s">
        <v>29</v>
      </c>
    </row>
    <row r="7" spans="1:17" x14ac:dyDescent="0.35">
      <c r="A7" t="s">
        <v>187</v>
      </c>
      <c r="B7" t="s">
        <v>72</v>
      </c>
      <c r="C7" s="14" t="s">
        <v>172</v>
      </c>
      <c r="D7" s="13" t="s">
        <v>178</v>
      </c>
      <c r="E7">
        <v>1</v>
      </c>
      <c r="K7">
        <v>3</v>
      </c>
      <c r="L7" t="s">
        <v>2</v>
      </c>
      <c r="M7" t="s">
        <v>30</v>
      </c>
    </row>
    <row r="8" spans="1:17" x14ac:dyDescent="0.35">
      <c r="B8" t="s">
        <v>70</v>
      </c>
      <c r="C8" s="14" t="s">
        <v>171</v>
      </c>
      <c r="D8" s="13" t="s">
        <v>179</v>
      </c>
      <c r="E8">
        <v>1</v>
      </c>
      <c r="K8">
        <v>4</v>
      </c>
      <c r="L8" t="s">
        <v>3</v>
      </c>
      <c r="M8" t="s">
        <v>31</v>
      </c>
      <c r="N8" t="s">
        <v>189</v>
      </c>
    </row>
    <row r="9" spans="1:17" x14ac:dyDescent="0.35">
      <c r="A9" t="s">
        <v>188</v>
      </c>
      <c r="B9" t="s">
        <v>74</v>
      </c>
      <c r="C9" t="s">
        <v>173</v>
      </c>
      <c r="D9" s="13" t="s">
        <v>180</v>
      </c>
      <c r="K9">
        <v>5</v>
      </c>
      <c r="L9" t="s">
        <v>4</v>
      </c>
      <c r="M9" t="s">
        <v>32</v>
      </c>
    </row>
    <row r="10" spans="1:17" x14ac:dyDescent="0.35">
      <c r="A10" t="s">
        <v>185</v>
      </c>
      <c r="B10" t="s">
        <v>75</v>
      </c>
      <c r="C10" s="14" t="s">
        <v>174</v>
      </c>
      <c r="D10" s="13" t="s">
        <v>181</v>
      </c>
      <c r="K10">
        <v>6</v>
      </c>
      <c r="L10" t="s">
        <v>162</v>
      </c>
      <c r="M10" t="s">
        <v>161</v>
      </c>
      <c r="N10" t="s">
        <v>191</v>
      </c>
    </row>
    <row r="11" spans="1:17" x14ac:dyDescent="0.35">
      <c r="A11" t="s">
        <v>185</v>
      </c>
      <c r="B11" t="s">
        <v>76</v>
      </c>
      <c r="C11" s="14" t="s">
        <v>175</v>
      </c>
      <c r="D11" s="13" t="s">
        <v>182</v>
      </c>
      <c r="K11">
        <v>7</v>
      </c>
      <c r="L11" t="s">
        <v>5</v>
      </c>
      <c r="M11" t="s">
        <v>33</v>
      </c>
    </row>
    <row r="12" spans="1:17" x14ac:dyDescent="0.35">
      <c r="A12" t="s">
        <v>185</v>
      </c>
      <c r="B12" t="s">
        <v>176</v>
      </c>
      <c r="C12" t="s">
        <v>177</v>
      </c>
      <c r="D12" s="13" t="s">
        <v>183</v>
      </c>
      <c r="K12">
        <v>8</v>
      </c>
      <c r="L12" t="s">
        <v>6</v>
      </c>
      <c r="M12" t="s">
        <v>34</v>
      </c>
    </row>
    <row r="13" spans="1:17" x14ac:dyDescent="0.35">
      <c r="K13">
        <v>9</v>
      </c>
      <c r="L13" t="s">
        <v>7</v>
      </c>
      <c r="M13" t="s">
        <v>35</v>
      </c>
    </row>
    <row r="14" spans="1:17" x14ac:dyDescent="0.35">
      <c r="K14">
        <v>10</v>
      </c>
      <c r="L14" t="s">
        <v>8</v>
      </c>
      <c r="M14" t="s">
        <v>36</v>
      </c>
    </row>
    <row r="15" spans="1:17" x14ac:dyDescent="0.35">
      <c r="K15">
        <v>11</v>
      </c>
      <c r="L15" t="s">
        <v>9</v>
      </c>
      <c r="M15" t="s">
        <v>37</v>
      </c>
      <c r="Q15" t="s">
        <v>190</v>
      </c>
    </row>
    <row r="16" spans="1:17" x14ac:dyDescent="0.35">
      <c r="A16" t="s">
        <v>192</v>
      </c>
    </row>
    <row r="17" spans="1:16" x14ac:dyDescent="0.35">
      <c r="B17" t="s">
        <v>195</v>
      </c>
      <c r="C17" t="s">
        <v>196</v>
      </c>
      <c r="H17" t="s">
        <v>193</v>
      </c>
    </row>
    <row r="18" spans="1:16" x14ac:dyDescent="0.35">
      <c r="A18">
        <v>1</v>
      </c>
      <c r="B18" t="s">
        <v>199</v>
      </c>
      <c r="C18">
        <v>448</v>
      </c>
      <c r="H18" t="s">
        <v>194</v>
      </c>
    </row>
    <row r="19" spans="1:16" x14ac:dyDescent="0.35">
      <c r="A19">
        <f>A18+1</f>
        <v>2</v>
      </c>
      <c r="B19" t="s">
        <v>201</v>
      </c>
      <c r="C19">
        <v>862</v>
      </c>
      <c r="D19" t="s">
        <v>213</v>
      </c>
    </row>
    <row r="20" spans="1:16" x14ac:dyDescent="0.35">
      <c r="A20">
        <f t="shared" ref="A20:A31" si="0">A19+1</f>
        <v>3</v>
      </c>
      <c r="B20" t="s">
        <v>202</v>
      </c>
      <c r="C20">
        <v>864</v>
      </c>
      <c r="H20" t="s">
        <v>198</v>
      </c>
    </row>
    <row r="21" spans="1:16" x14ac:dyDescent="0.35">
      <c r="A21">
        <f t="shared" si="0"/>
        <v>4</v>
      </c>
      <c r="B21" t="s">
        <v>203</v>
      </c>
      <c r="C21">
        <v>866</v>
      </c>
      <c r="H21" t="s">
        <v>197</v>
      </c>
    </row>
    <row r="22" spans="1:16" x14ac:dyDescent="0.35">
      <c r="A22">
        <f t="shared" si="0"/>
        <v>5</v>
      </c>
      <c r="B22" t="s">
        <v>204</v>
      </c>
      <c r="C22">
        <v>868</v>
      </c>
      <c r="H22" t="s">
        <v>200</v>
      </c>
      <c r="P22">
        <v>862</v>
      </c>
    </row>
    <row r="23" spans="1:16" x14ac:dyDescent="0.35">
      <c r="A23">
        <f t="shared" si="0"/>
        <v>6</v>
      </c>
      <c r="B23" t="s">
        <v>205</v>
      </c>
      <c r="C23">
        <v>869</v>
      </c>
    </row>
    <row r="24" spans="1:16" x14ac:dyDescent="0.35">
      <c r="A24">
        <f t="shared" si="0"/>
        <v>7</v>
      </c>
      <c r="B24" t="s">
        <v>206</v>
      </c>
      <c r="C24">
        <v>449</v>
      </c>
    </row>
    <row r="25" spans="1:16" x14ac:dyDescent="0.35">
      <c r="A25">
        <f t="shared" si="0"/>
        <v>8</v>
      </c>
      <c r="B25" t="s">
        <v>207</v>
      </c>
      <c r="C25">
        <v>1258</v>
      </c>
    </row>
    <row r="26" spans="1:16" x14ac:dyDescent="0.35">
      <c r="A26">
        <f t="shared" si="0"/>
        <v>9</v>
      </c>
      <c r="B26" t="s">
        <v>208</v>
      </c>
      <c r="C26">
        <v>1296</v>
      </c>
    </row>
    <row r="27" spans="1:16" x14ac:dyDescent="0.35">
      <c r="A27">
        <f t="shared" si="0"/>
        <v>10</v>
      </c>
      <c r="B27" t="s">
        <v>209</v>
      </c>
      <c r="C27">
        <v>1251</v>
      </c>
    </row>
    <row r="28" spans="1:16" x14ac:dyDescent="0.35">
      <c r="A28">
        <f t="shared" si="0"/>
        <v>11</v>
      </c>
      <c r="B28" t="s">
        <v>210</v>
      </c>
      <c r="C28">
        <v>870</v>
      </c>
    </row>
    <row r="29" spans="1:16" x14ac:dyDescent="0.35">
      <c r="A29">
        <f t="shared" si="0"/>
        <v>12</v>
      </c>
      <c r="B29" t="s">
        <v>211</v>
      </c>
      <c r="C29">
        <v>975</v>
      </c>
    </row>
    <row r="30" spans="1:16" x14ac:dyDescent="0.35">
      <c r="A30">
        <f t="shared" si="0"/>
        <v>13</v>
      </c>
      <c r="B30" t="s">
        <v>71</v>
      </c>
      <c r="C30">
        <v>101</v>
      </c>
    </row>
    <row r="31" spans="1:16" x14ac:dyDescent="0.35">
      <c r="A31">
        <f t="shared" si="0"/>
        <v>14</v>
      </c>
      <c r="B31" t="s">
        <v>212</v>
      </c>
      <c r="C31">
        <v>1340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workbookViewId="0">
      <selection activeCell="R2" sqref="R2"/>
    </sheetView>
  </sheetViews>
  <sheetFormatPr baseColWidth="10" defaultColWidth="8.7265625" defaultRowHeight="14.5" x14ac:dyDescent="0.35"/>
  <cols>
    <col min="3" max="3" width="14.54296875" bestFit="1" customWidth="1"/>
    <col min="4" max="4" width="10.54296875" bestFit="1" customWidth="1"/>
    <col min="5" max="16" width="11.7265625" customWidth="1"/>
    <col min="18" max="18" width="13.54296875" bestFit="1" customWidth="1"/>
    <col min="19" max="19" width="13.1796875" customWidth="1"/>
  </cols>
  <sheetData>
    <row r="1" spans="2:20" x14ac:dyDescent="0.35">
      <c r="H1" t="s">
        <v>78</v>
      </c>
      <c r="Q1" t="s">
        <v>78</v>
      </c>
    </row>
    <row r="2" spans="2:20" x14ac:dyDescent="0.35">
      <c r="B2" s="1" t="s">
        <v>20</v>
      </c>
      <c r="C2" s="1" t="s">
        <v>19</v>
      </c>
      <c r="D2" s="1" t="s">
        <v>27</v>
      </c>
      <c r="E2" s="1" t="s">
        <v>10</v>
      </c>
      <c r="F2" s="1" t="s">
        <v>38</v>
      </c>
      <c r="G2" s="2" t="s">
        <v>18</v>
      </c>
      <c r="H2" s="1" t="s">
        <v>59</v>
      </c>
      <c r="I2" s="4" t="s">
        <v>69</v>
      </c>
      <c r="J2" s="4" t="s">
        <v>70</v>
      </c>
      <c r="K2" s="4" t="s">
        <v>71</v>
      </c>
      <c r="L2" s="4" t="s">
        <v>72</v>
      </c>
      <c r="M2" s="4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79</v>
      </c>
      <c r="S2" t="s">
        <v>80</v>
      </c>
      <c r="T2" t="s">
        <v>81</v>
      </c>
    </row>
    <row r="3" spans="2:20" x14ac:dyDescent="0.35">
      <c r="B3">
        <v>0</v>
      </c>
      <c r="C3" t="s">
        <v>0</v>
      </c>
      <c r="D3" t="s">
        <v>28</v>
      </c>
      <c r="E3" s="3" t="s">
        <v>11</v>
      </c>
      <c r="F3" t="s">
        <v>38</v>
      </c>
      <c r="G3" t="s">
        <v>21</v>
      </c>
      <c r="H3" t="s">
        <v>58</v>
      </c>
    </row>
    <row r="4" spans="2:20" x14ac:dyDescent="0.35">
      <c r="B4">
        <v>1</v>
      </c>
      <c r="C4" t="s">
        <v>1</v>
      </c>
      <c r="D4" t="s">
        <v>29</v>
      </c>
      <c r="E4" s="3" t="s">
        <v>12</v>
      </c>
      <c r="F4" t="s">
        <v>38</v>
      </c>
      <c r="G4" t="s">
        <v>22</v>
      </c>
      <c r="H4" t="s">
        <v>60</v>
      </c>
    </row>
    <row r="5" spans="2:20" x14ac:dyDescent="0.35">
      <c r="B5">
        <v>2</v>
      </c>
      <c r="C5" t="s">
        <v>2</v>
      </c>
      <c r="D5" t="s">
        <v>30</v>
      </c>
      <c r="E5" s="3" t="s">
        <v>11</v>
      </c>
      <c r="F5" t="s">
        <v>38</v>
      </c>
      <c r="G5" t="s">
        <v>21</v>
      </c>
      <c r="H5" t="s">
        <v>58</v>
      </c>
    </row>
    <row r="6" spans="2:20" x14ac:dyDescent="0.35">
      <c r="B6">
        <v>3</v>
      </c>
      <c r="C6" t="s">
        <v>3</v>
      </c>
      <c r="D6" t="s">
        <v>31</v>
      </c>
      <c r="E6" s="3" t="s">
        <v>13</v>
      </c>
      <c r="F6" t="s">
        <v>38</v>
      </c>
      <c r="G6" t="s">
        <v>18</v>
      </c>
      <c r="H6" t="s">
        <v>59</v>
      </c>
    </row>
    <row r="7" spans="2:20" x14ac:dyDescent="0.35">
      <c r="B7">
        <v>4</v>
      </c>
      <c r="C7" t="s">
        <v>4</v>
      </c>
      <c r="D7" t="s">
        <v>32</v>
      </c>
      <c r="E7" s="3" t="s">
        <v>14</v>
      </c>
      <c r="F7" t="s">
        <v>53</v>
      </c>
      <c r="G7" t="s">
        <v>25</v>
      </c>
      <c r="H7" t="s">
        <v>61</v>
      </c>
    </row>
    <row r="8" spans="2:20" x14ac:dyDescent="0.35">
      <c r="B8">
        <v>5</v>
      </c>
      <c r="C8" t="s">
        <v>5</v>
      </c>
      <c r="D8" t="s">
        <v>33</v>
      </c>
      <c r="E8" s="3" t="s">
        <v>15</v>
      </c>
      <c r="F8" t="s">
        <v>56</v>
      </c>
      <c r="G8" t="s">
        <v>26</v>
      </c>
      <c r="H8" t="s">
        <v>62</v>
      </c>
    </row>
    <row r="9" spans="2:20" x14ac:dyDescent="0.35">
      <c r="B9">
        <v>6</v>
      </c>
      <c r="C9" t="s">
        <v>6</v>
      </c>
      <c r="D9" t="s">
        <v>34</v>
      </c>
      <c r="E9" s="3" t="s">
        <v>16</v>
      </c>
      <c r="F9" t="s">
        <v>55</v>
      </c>
      <c r="G9" t="s">
        <v>24</v>
      </c>
      <c r="H9" t="s">
        <v>63</v>
      </c>
    </row>
    <row r="10" spans="2:20" x14ac:dyDescent="0.35">
      <c r="B10">
        <v>7</v>
      </c>
      <c r="C10" t="s">
        <v>7</v>
      </c>
      <c r="D10" t="s">
        <v>35</v>
      </c>
      <c r="E10" s="3" t="s">
        <v>17</v>
      </c>
      <c r="F10" t="s">
        <v>54</v>
      </c>
      <c r="G10" t="s">
        <v>23</v>
      </c>
      <c r="H10" t="s">
        <v>64</v>
      </c>
    </row>
    <row r="11" spans="2:20" x14ac:dyDescent="0.35">
      <c r="B11">
        <v>8</v>
      </c>
      <c r="C11" t="s">
        <v>8</v>
      </c>
      <c r="D11" t="s">
        <v>36</v>
      </c>
      <c r="E11" s="3" t="s">
        <v>11</v>
      </c>
      <c r="F11" t="s">
        <v>38</v>
      </c>
      <c r="G11" t="s">
        <v>21</v>
      </c>
      <c r="H11" t="s">
        <v>58</v>
      </c>
    </row>
    <row r="12" spans="2:20" x14ac:dyDescent="0.35">
      <c r="B12">
        <v>9</v>
      </c>
      <c r="C12" t="s">
        <v>9</v>
      </c>
      <c r="D12" t="s">
        <v>37</v>
      </c>
      <c r="E12" s="3" t="s">
        <v>13</v>
      </c>
      <c r="F12" t="s">
        <v>38</v>
      </c>
      <c r="G12" t="s">
        <v>18</v>
      </c>
      <c r="H12" t="s">
        <v>59</v>
      </c>
    </row>
    <row r="13" spans="2:20" x14ac:dyDescent="0.35">
      <c r="B13">
        <v>10</v>
      </c>
      <c r="C13" t="s">
        <v>160</v>
      </c>
      <c r="D13" t="s">
        <v>159</v>
      </c>
    </row>
    <row r="14" spans="2:20" x14ac:dyDescent="0.35">
      <c r="B14">
        <v>11</v>
      </c>
      <c r="C14" t="s">
        <v>162</v>
      </c>
      <c r="D14" t="s">
        <v>161</v>
      </c>
    </row>
    <row r="18" spans="1:3" x14ac:dyDescent="0.35">
      <c r="C18" t="s">
        <v>65</v>
      </c>
    </row>
    <row r="22" spans="1:3" x14ac:dyDescent="0.35">
      <c r="B22" t="s">
        <v>66</v>
      </c>
    </row>
    <row r="23" spans="1:3" x14ac:dyDescent="0.35">
      <c r="A23">
        <v>1</v>
      </c>
      <c r="B23" t="s">
        <v>23</v>
      </c>
    </row>
    <row r="24" spans="1:3" x14ac:dyDescent="0.35">
      <c r="A24">
        <v>1</v>
      </c>
      <c r="B24" t="s">
        <v>38</v>
      </c>
    </row>
    <row r="25" spans="1:3" x14ac:dyDescent="0.35">
      <c r="B25" t="s">
        <v>39</v>
      </c>
    </row>
    <row r="26" spans="1:3" x14ac:dyDescent="0.35">
      <c r="B26" t="s">
        <v>40</v>
      </c>
    </row>
    <row r="27" spans="1:3" x14ac:dyDescent="0.35">
      <c r="A27">
        <v>1</v>
      </c>
      <c r="B27" t="s">
        <v>41</v>
      </c>
    </row>
    <row r="28" spans="1:3" x14ac:dyDescent="0.35">
      <c r="B28" t="s">
        <v>42</v>
      </c>
    </row>
    <row r="29" spans="1:3" x14ac:dyDescent="0.35">
      <c r="A29">
        <v>1</v>
      </c>
      <c r="B29" t="s">
        <v>43</v>
      </c>
      <c r="C29" t="s">
        <v>47</v>
      </c>
    </row>
    <row r="30" spans="1:3" x14ac:dyDescent="0.35">
      <c r="B30" t="s">
        <v>44</v>
      </c>
      <c r="C30" t="s">
        <v>45</v>
      </c>
    </row>
    <row r="31" spans="1:3" x14ac:dyDescent="0.35">
      <c r="A31">
        <v>1</v>
      </c>
      <c r="B31" t="s">
        <v>46</v>
      </c>
    </row>
    <row r="32" spans="1:3" x14ac:dyDescent="0.35">
      <c r="B32" t="s">
        <v>48</v>
      </c>
    </row>
    <row r="33" spans="1:4" x14ac:dyDescent="0.35">
      <c r="A33">
        <v>1</v>
      </c>
      <c r="B33" t="s">
        <v>49</v>
      </c>
      <c r="D33" t="s">
        <v>51</v>
      </c>
    </row>
    <row r="34" spans="1:4" x14ac:dyDescent="0.35">
      <c r="A34">
        <v>1</v>
      </c>
      <c r="B34" t="s">
        <v>50</v>
      </c>
      <c r="D3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6E69-377C-4C3F-8FB0-80198962820B}">
  <dimension ref="B1:T14"/>
  <sheetViews>
    <sheetView workbookViewId="0">
      <selection activeCell="G13" sqref="G13"/>
    </sheetView>
  </sheetViews>
  <sheetFormatPr baseColWidth="10" defaultRowHeight="14.5" x14ac:dyDescent="0.35"/>
  <sheetData>
    <row r="1" spans="2:20" x14ac:dyDescent="0.35"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N1">
        <v>1</v>
      </c>
      <c r="O1">
        <v>1</v>
      </c>
      <c r="P1">
        <v>1</v>
      </c>
    </row>
    <row r="2" spans="2:20" ht="29" x14ac:dyDescent="0.35">
      <c r="B2" s="6" t="s">
        <v>20</v>
      </c>
      <c r="C2" s="6" t="s">
        <v>19</v>
      </c>
      <c r="D2" s="6" t="s">
        <v>27</v>
      </c>
      <c r="E2" s="6" t="s">
        <v>10</v>
      </c>
      <c r="F2" s="7" t="s">
        <v>38</v>
      </c>
      <c r="G2" s="6" t="s">
        <v>18</v>
      </c>
      <c r="H2" s="6" t="s">
        <v>79</v>
      </c>
      <c r="I2" s="6" t="s">
        <v>80</v>
      </c>
      <c r="J2" s="6" t="s">
        <v>70</v>
      </c>
      <c r="K2" s="6" t="s">
        <v>71</v>
      </c>
      <c r="L2" s="6" t="s">
        <v>72</v>
      </c>
      <c r="M2" s="6" t="s">
        <v>73</v>
      </c>
      <c r="N2" s="6" t="s">
        <v>74</v>
      </c>
      <c r="O2" s="6" t="s">
        <v>75</v>
      </c>
      <c r="P2" s="6" t="s">
        <v>76</v>
      </c>
      <c r="Q2" s="6" t="s">
        <v>77</v>
      </c>
      <c r="R2" s="6" t="s">
        <v>59</v>
      </c>
      <c r="S2" s="6" t="s">
        <v>69</v>
      </c>
      <c r="T2" s="6" t="s">
        <v>81</v>
      </c>
    </row>
    <row r="3" spans="2:20" ht="29" x14ac:dyDescent="0.35">
      <c r="B3" s="5">
        <v>0</v>
      </c>
      <c r="C3" s="5" t="s">
        <v>0</v>
      </c>
      <c r="D3" s="5" t="s">
        <v>28</v>
      </c>
      <c r="E3" s="8" t="s">
        <v>11</v>
      </c>
      <c r="F3" s="5" t="s">
        <v>38</v>
      </c>
      <c r="G3" s="5" t="s">
        <v>21</v>
      </c>
      <c r="H3" s="5" t="s">
        <v>90</v>
      </c>
      <c r="I3" s="5" t="s">
        <v>91</v>
      </c>
      <c r="J3" s="5" t="s">
        <v>83</v>
      </c>
      <c r="K3" s="5" t="s">
        <v>84</v>
      </c>
      <c r="L3" s="5" t="s">
        <v>85</v>
      </c>
      <c r="M3" s="5" t="s">
        <v>86</v>
      </c>
      <c r="N3" s="5" t="s">
        <v>74</v>
      </c>
      <c r="O3" s="5" t="s">
        <v>87</v>
      </c>
      <c r="P3" s="5" t="s">
        <v>88</v>
      </c>
      <c r="Q3" s="5" t="s">
        <v>89</v>
      </c>
      <c r="R3" s="5" t="s">
        <v>58</v>
      </c>
      <c r="S3" s="5" t="s">
        <v>82</v>
      </c>
      <c r="T3" s="5" t="s">
        <v>92</v>
      </c>
    </row>
    <row r="4" spans="2:20" ht="29" x14ac:dyDescent="0.35">
      <c r="B4" s="5">
        <v>1</v>
      </c>
      <c r="C4" s="5" t="s">
        <v>1</v>
      </c>
      <c r="D4" s="5" t="s">
        <v>29</v>
      </c>
      <c r="E4" s="8" t="s">
        <v>12</v>
      </c>
      <c r="F4" s="5" t="s">
        <v>38</v>
      </c>
      <c r="G4" s="5" t="s">
        <v>22</v>
      </c>
      <c r="H4" s="5" t="s">
        <v>100</v>
      </c>
      <c r="I4" s="5" t="s">
        <v>101</v>
      </c>
      <c r="J4" s="5" t="s">
        <v>94</v>
      </c>
      <c r="K4" s="5" t="s">
        <v>95</v>
      </c>
      <c r="L4" s="5" t="s">
        <v>96</v>
      </c>
      <c r="M4" s="5" t="s">
        <v>97</v>
      </c>
      <c r="N4" s="5" t="s">
        <v>98</v>
      </c>
      <c r="O4" s="5" t="s">
        <v>75</v>
      </c>
      <c r="P4" s="5" t="s">
        <v>99</v>
      </c>
      <c r="Q4" s="5" t="s">
        <v>89</v>
      </c>
      <c r="R4" s="5" t="s">
        <v>60</v>
      </c>
      <c r="S4" s="5" t="s">
        <v>93</v>
      </c>
      <c r="T4" s="5" t="s">
        <v>102</v>
      </c>
    </row>
    <row r="5" spans="2:20" ht="29" x14ac:dyDescent="0.35">
      <c r="B5" s="5">
        <v>2</v>
      </c>
      <c r="C5" s="5" t="s">
        <v>2</v>
      </c>
      <c r="D5" s="5" t="s">
        <v>30</v>
      </c>
      <c r="E5" s="8" t="s">
        <v>11</v>
      </c>
      <c r="F5" s="5" t="s">
        <v>38</v>
      </c>
      <c r="G5" s="5" t="s">
        <v>21</v>
      </c>
      <c r="H5" s="5" t="s">
        <v>90</v>
      </c>
      <c r="I5" s="5" t="s">
        <v>91</v>
      </c>
      <c r="J5" s="5" t="s">
        <v>83</v>
      </c>
      <c r="K5" s="5" t="s">
        <v>84</v>
      </c>
      <c r="L5" s="5" t="s">
        <v>85</v>
      </c>
      <c r="M5" s="5" t="s">
        <v>86</v>
      </c>
      <c r="N5" s="5" t="s">
        <v>74</v>
      </c>
      <c r="O5" s="5" t="s">
        <v>87</v>
      </c>
      <c r="P5" s="5" t="s">
        <v>88</v>
      </c>
      <c r="Q5" s="5" t="s">
        <v>89</v>
      </c>
      <c r="R5" s="5" t="s">
        <v>58</v>
      </c>
      <c r="S5" s="5" t="s">
        <v>82</v>
      </c>
      <c r="T5" s="5" t="s">
        <v>92</v>
      </c>
    </row>
    <row r="6" spans="2:20" ht="29" x14ac:dyDescent="0.35">
      <c r="B6" s="5">
        <v>3</v>
      </c>
      <c r="C6" s="5" t="s">
        <v>3</v>
      </c>
      <c r="D6" s="5" t="s">
        <v>31</v>
      </c>
      <c r="E6" s="8" t="s">
        <v>13</v>
      </c>
      <c r="F6" s="5" t="s">
        <v>38</v>
      </c>
      <c r="G6" s="5" t="s">
        <v>18</v>
      </c>
      <c r="H6" s="5" t="s">
        <v>79</v>
      </c>
      <c r="I6" s="5" t="s">
        <v>80</v>
      </c>
      <c r="J6" s="5" t="s">
        <v>70</v>
      </c>
      <c r="K6" s="5" t="s">
        <v>71</v>
      </c>
      <c r="L6" s="5" t="s">
        <v>72</v>
      </c>
      <c r="M6" s="5" t="s">
        <v>73</v>
      </c>
      <c r="N6" s="5" t="s">
        <v>74</v>
      </c>
      <c r="O6" s="5" t="s">
        <v>75</v>
      </c>
      <c r="P6" s="5" t="s">
        <v>76</v>
      </c>
      <c r="Q6" s="5" t="s">
        <v>77</v>
      </c>
      <c r="R6" s="5" t="s">
        <v>59</v>
      </c>
      <c r="S6" s="5" t="s">
        <v>69</v>
      </c>
      <c r="T6" s="5" t="s">
        <v>81</v>
      </c>
    </row>
    <row r="7" spans="2:20" ht="29" x14ac:dyDescent="0.35">
      <c r="B7" s="5">
        <v>4</v>
      </c>
      <c r="C7" s="5" t="s">
        <v>4</v>
      </c>
      <c r="D7" s="5" t="s">
        <v>32</v>
      </c>
      <c r="E7" s="8" t="s">
        <v>14</v>
      </c>
      <c r="F7" s="5" t="s">
        <v>53</v>
      </c>
      <c r="G7" s="5" t="s">
        <v>25</v>
      </c>
      <c r="H7" s="5" t="s">
        <v>112</v>
      </c>
      <c r="I7" s="5" t="s">
        <v>113</v>
      </c>
      <c r="J7" s="5" t="s">
        <v>104</v>
      </c>
      <c r="K7" s="5" t="s">
        <v>105</v>
      </c>
      <c r="L7" s="5" t="s">
        <v>106</v>
      </c>
      <c r="M7" s="5" t="s">
        <v>107</v>
      </c>
      <c r="N7" s="5" t="s">
        <v>108</v>
      </c>
      <c r="O7" s="5" t="s">
        <v>109</v>
      </c>
      <c r="P7" s="5" t="s">
        <v>110</v>
      </c>
      <c r="Q7" s="5" t="s">
        <v>111</v>
      </c>
      <c r="R7" s="5" t="s">
        <v>61</v>
      </c>
      <c r="S7" s="5" t="s">
        <v>103</v>
      </c>
      <c r="T7" s="5" t="s">
        <v>114</v>
      </c>
    </row>
    <row r="8" spans="2:20" ht="29" x14ac:dyDescent="0.35">
      <c r="B8" s="5">
        <v>5</v>
      </c>
      <c r="C8" s="5" t="s">
        <v>5</v>
      </c>
      <c r="D8" s="5" t="s">
        <v>33</v>
      </c>
      <c r="E8" s="8" t="s">
        <v>15</v>
      </c>
      <c r="F8" s="5" t="s">
        <v>56</v>
      </c>
      <c r="G8" s="5" t="s">
        <v>26</v>
      </c>
      <c r="H8" s="5" t="s">
        <v>123</v>
      </c>
      <c r="I8" s="5" t="s">
        <v>124</v>
      </c>
      <c r="J8" s="5" t="s">
        <v>70</v>
      </c>
      <c r="K8" s="5" t="s">
        <v>116</v>
      </c>
      <c r="L8" s="5" t="s">
        <v>117</v>
      </c>
      <c r="M8" s="5" t="s">
        <v>118</v>
      </c>
      <c r="N8" s="5" t="s">
        <v>119</v>
      </c>
      <c r="O8" s="5" t="s">
        <v>120</v>
      </c>
      <c r="P8" s="5" t="s">
        <v>121</v>
      </c>
      <c r="Q8" s="5" t="s">
        <v>122</v>
      </c>
      <c r="R8" s="5" t="s">
        <v>62</v>
      </c>
      <c r="S8" s="5" t="s">
        <v>115</v>
      </c>
      <c r="T8" s="5" t="s">
        <v>125</v>
      </c>
    </row>
    <row r="9" spans="2:20" ht="29" x14ac:dyDescent="0.35">
      <c r="B9" s="5">
        <v>6</v>
      </c>
      <c r="C9" s="5" t="s">
        <v>126</v>
      </c>
      <c r="D9" s="5" t="s">
        <v>34</v>
      </c>
      <c r="E9" s="8" t="s">
        <v>16</v>
      </c>
      <c r="F9" s="5" t="s">
        <v>55</v>
      </c>
      <c r="G9" s="5" t="s">
        <v>24</v>
      </c>
      <c r="H9" s="5" t="s">
        <v>135</v>
      </c>
      <c r="I9" s="5" t="s">
        <v>136</v>
      </c>
      <c r="J9" s="5" t="s">
        <v>127</v>
      </c>
      <c r="K9" s="5" t="s">
        <v>128</v>
      </c>
      <c r="L9" s="5" t="s">
        <v>129</v>
      </c>
      <c r="M9" s="5" t="s">
        <v>130</v>
      </c>
      <c r="N9" s="5" t="s">
        <v>131</v>
      </c>
      <c r="O9" s="5" t="s">
        <v>132</v>
      </c>
      <c r="P9" s="5" t="s">
        <v>133</v>
      </c>
      <c r="Q9" s="5" t="s">
        <v>134</v>
      </c>
      <c r="R9" s="5" t="s">
        <v>63</v>
      </c>
      <c r="S9" s="5" t="s">
        <v>46</v>
      </c>
      <c r="T9" s="5" t="s">
        <v>137</v>
      </c>
    </row>
    <row r="10" spans="2:20" ht="29" x14ac:dyDescent="0.35">
      <c r="B10" s="5">
        <v>7</v>
      </c>
      <c r="C10" s="5" t="s">
        <v>7</v>
      </c>
      <c r="D10" s="5" t="s">
        <v>35</v>
      </c>
      <c r="E10" s="8" t="s">
        <v>17</v>
      </c>
      <c r="F10" s="5" t="s">
        <v>54</v>
      </c>
      <c r="G10" s="5" t="s">
        <v>23</v>
      </c>
      <c r="H10" s="5" t="s">
        <v>142</v>
      </c>
      <c r="I10" s="5" t="s">
        <v>143</v>
      </c>
      <c r="J10" s="5" t="s">
        <v>39</v>
      </c>
      <c r="K10" s="5" t="s">
        <v>49</v>
      </c>
      <c r="L10" s="5" t="s">
        <v>138</v>
      </c>
      <c r="M10" s="5" t="s">
        <v>41</v>
      </c>
      <c r="N10" s="5" t="s">
        <v>139</v>
      </c>
      <c r="O10" s="5" t="s">
        <v>140</v>
      </c>
      <c r="P10" s="5" t="s">
        <v>141</v>
      </c>
      <c r="Q10" s="5" t="s">
        <v>44</v>
      </c>
      <c r="R10" s="5" t="s">
        <v>64</v>
      </c>
      <c r="S10" s="5" t="s">
        <v>46</v>
      </c>
      <c r="T10" s="5" t="s">
        <v>144</v>
      </c>
    </row>
    <row r="11" spans="2:20" ht="29" x14ac:dyDescent="0.35">
      <c r="B11" s="5">
        <v>8</v>
      </c>
      <c r="C11" s="5" t="s">
        <v>8</v>
      </c>
      <c r="D11" s="5" t="s">
        <v>36</v>
      </c>
      <c r="E11" s="8" t="s">
        <v>11</v>
      </c>
      <c r="F11" s="5" t="s">
        <v>38</v>
      </c>
      <c r="G11" s="5" t="s">
        <v>21</v>
      </c>
      <c r="H11" s="5" t="s">
        <v>90</v>
      </c>
      <c r="I11" s="5" t="s">
        <v>91</v>
      </c>
      <c r="J11" s="5" t="s">
        <v>83</v>
      </c>
      <c r="K11" s="5" t="s">
        <v>84</v>
      </c>
      <c r="L11" s="5" t="s">
        <v>85</v>
      </c>
      <c r="M11" s="5" t="s">
        <v>86</v>
      </c>
      <c r="N11" s="5" t="s">
        <v>74</v>
      </c>
      <c r="O11" s="5" t="s">
        <v>87</v>
      </c>
      <c r="P11" s="5" t="s">
        <v>88</v>
      </c>
      <c r="Q11" s="5" t="s">
        <v>89</v>
      </c>
      <c r="R11" s="5" t="s">
        <v>58</v>
      </c>
      <c r="S11" s="5" t="s">
        <v>82</v>
      </c>
      <c r="T11" s="5" t="s">
        <v>92</v>
      </c>
    </row>
    <row r="12" spans="2:20" ht="29" x14ac:dyDescent="0.35">
      <c r="B12" s="5">
        <v>9</v>
      </c>
      <c r="C12" s="5" t="s">
        <v>9</v>
      </c>
      <c r="D12" s="5" t="s">
        <v>37</v>
      </c>
      <c r="E12" s="8" t="s">
        <v>13</v>
      </c>
      <c r="F12" s="5" t="s">
        <v>38</v>
      </c>
      <c r="G12" s="5" t="s">
        <v>18</v>
      </c>
      <c r="H12" s="5" t="s">
        <v>79</v>
      </c>
      <c r="I12" s="5" t="s">
        <v>80</v>
      </c>
      <c r="J12" s="5" t="s">
        <v>70</v>
      </c>
      <c r="K12" s="5" t="s">
        <v>71</v>
      </c>
      <c r="L12" s="5" t="s">
        <v>72</v>
      </c>
      <c r="M12" s="5" t="s">
        <v>73</v>
      </c>
      <c r="N12" s="5" t="s">
        <v>74</v>
      </c>
      <c r="O12" s="5" t="s">
        <v>75</v>
      </c>
      <c r="P12" s="5" t="s">
        <v>76</v>
      </c>
      <c r="Q12" s="5" t="s">
        <v>77</v>
      </c>
      <c r="R12" s="5" t="s">
        <v>59</v>
      </c>
      <c r="S12" s="5" t="s">
        <v>69</v>
      </c>
      <c r="T12" s="5" t="s">
        <v>81</v>
      </c>
    </row>
    <row r="13" spans="2:20" x14ac:dyDescent="0.35">
      <c r="F13" s="5" t="s">
        <v>145</v>
      </c>
      <c r="G13" s="5" t="s">
        <v>145</v>
      </c>
      <c r="H13" s="5" t="s">
        <v>145</v>
      </c>
      <c r="I13" s="5" t="s">
        <v>145</v>
      </c>
      <c r="J13" s="5" t="s">
        <v>145</v>
      </c>
      <c r="K13" s="5"/>
    </row>
    <row r="14" spans="2:20" x14ac:dyDescent="0.35">
      <c r="H14" s="5" t="s">
        <v>146</v>
      </c>
      <c r="I14" s="5" t="s">
        <v>146</v>
      </c>
      <c r="Q14" s="5" t="s">
        <v>147</v>
      </c>
      <c r="R14" s="5" t="s">
        <v>147</v>
      </c>
      <c r="S14" s="5" t="s">
        <v>147</v>
      </c>
      <c r="T14" s="5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98EA-5687-40D0-8DDE-FADF2AF15FEF}">
  <dimension ref="B1:U16"/>
  <sheetViews>
    <sheetView topLeftCell="J5" zoomScale="175" zoomScaleNormal="175" workbookViewId="0">
      <selection activeCell="Q9" sqref="Q9:S21"/>
    </sheetView>
  </sheetViews>
  <sheetFormatPr baseColWidth="10" defaultRowHeight="14.5" x14ac:dyDescent="0.35"/>
  <cols>
    <col min="18" max="18" width="15.26953125" bestFit="1" customWidth="1"/>
  </cols>
  <sheetData>
    <row r="1" spans="2:21" x14ac:dyDescent="0.35">
      <c r="B1" t="s">
        <v>153</v>
      </c>
    </row>
    <row r="3" spans="2:21" x14ac:dyDescent="0.35">
      <c r="B3" t="s">
        <v>38</v>
      </c>
    </row>
    <row r="4" spans="2:21" x14ac:dyDescent="0.35">
      <c r="B4" s="9" t="s">
        <v>149</v>
      </c>
    </row>
    <row r="5" spans="2:21" x14ac:dyDescent="0.35">
      <c r="B5" t="s">
        <v>57</v>
      </c>
    </row>
    <row r="6" spans="2:21" x14ac:dyDescent="0.35">
      <c r="L6" s="10" t="s">
        <v>157</v>
      </c>
    </row>
    <row r="7" spans="2:21" ht="17.5" x14ac:dyDescent="0.45">
      <c r="B7" t="s">
        <v>71</v>
      </c>
      <c r="C7" t="s">
        <v>163</v>
      </c>
      <c r="L7" s="11" t="s">
        <v>158</v>
      </c>
    </row>
    <row r="8" spans="2:21" x14ac:dyDescent="0.35">
      <c r="B8" s="9" t="s">
        <v>148</v>
      </c>
    </row>
    <row r="9" spans="2:21" x14ac:dyDescent="0.35">
      <c r="B9" t="s">
        <v>150</v>
      </c>
    </row>
    <row r="11" spans="2:21" x14ac:dyDescent="0.35">
      <c r="B11" t="s">
        <v>151</v>
      </c>
    </row>
    <row r="12" spans="2:21" x14ac:dyDescent="0.35">
      <c r="B12" s="9" t="s">
        <v>152</v>
      </c>
    </row>
    <row r="13" spans="2:21" x14ac:dyDescent="0.35">
      <c r="B13" t="s">
        <v>154</v>
      </c>
    </row>
    <row r="14" spans="2:21" x14ac:dyDescent="0.35">
      <c r="B14" t="s">
        <v>155</v>
      </c>
    </row>
    <row r="15" spans="2:21" x14ac:dyDescent="0.35">
      <c r="B15" t="s">
        <v>156</v>
      </c>
    </row>
    <row r="16" spans="2:21" x14ac:dyDescent="0.35">
      <c r="U16" t="s">
        <v>164</v>
      </c>
    </row>
  </sheetData>
  <hyperlinks>
    <hyperlink ref="B8" r:id="rId1" xr:uid="{94147D0A-5DE9-4547-9514-B99990621070}"/>
    <hyperlink ref="B4" r:id="rId2" xr:uid="{6CDCAEA6-60B0-4157-83C1-EAD6C0134D2A}"/>
    <hyperlink ref="B12" r:id="rId3" xr:uid="{D990F6D3-FF7A-4CB8-A24A-80BE51145931}"/>
  </hyperlink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062C-0901-4856-BE76-E86F88C4786E}">
  <dimension ref="B2:I22"/>
  <sheetViews>
    <sheetView workbookViewId="0">
      <selection activeCell="B9" sqref="B9:E18"/>
    </sheetView>
  </sheetViews>
  <sheetFormatPr baseColWidth="10" defaultRowHeight="14.5" x14ac:dyDescent="0.35"/>
  <cols>
    <col min="2" max="2" width="11.54296875" bestFit="1" customWidth="1"/>
    <col min="3" max="3" width="14.1796875" bestFit="1" customWidth="1"/>
    <col min="4" max="4" width="19.453125" bestFit="1" customWidth="1"/>
  </cols>
  <sheetData>
    <row r="2" spans="2:9" x14ac:dyDescent="0.35">
      <c r="H2" t="s">
        <v>67</v>
      </c>
    </row>
    <row r="5" spans="2:9" x14ac:dyDescent="0.35">
      <c r="I5" t="s">
        <v>68</v>
      </c>
    </row>
    <row r="9" spans="2:9" x14ac:dyDescent="0.35">
      <c r="B9" t="s">
        <v>165</v>
      </c>
      <c r="C9" t="s">
        <v>166</v>
      </c>
      <c r="D9" t="s">
        <v>167</v>
      </c>
    </row>
    <row r="10" spans="2:9" x14ac:dyDescent="0.35">
      <c r="B10" t="s">
        <v>38</v>
      </c>
      <c r="C10" t="s">
        <v>168</v>
      </c>
      <c r="D10" t="s">
        <v>57</v>
      </c>
    </row>
    <row r="11" spans="2:9" x14ac:dyDescent="0.35">
      <c r="B11" t="s">
        <v>71</v>
      </c>
      <c r="C11" t="s">
        <v>169</v>
      </c>
      <c r="D11" t="s">
        <v>150</v>
      </c>
    </row>
    <row r="12" spans="2:9" x14ac:dyDescent="0.35">
      <c r="B12" t="s">
        <v>59</v>
      </c>
      <c r="C12" t="s">
        <v>170</v>
      </c>
      <c r="D12" t="s">
        <v>154</v>
      </c>
    </row>
    <row r="13" spans="2:9" x14ac:dyDescent="0.35">
      <c r="B13" t="s">
        <v>72</v>
      </c>
      <c r="C13" s="14" t="s">
        <v>172</v>
      </c>
      <c r="D13" s="13" t="s">
        <v>178</v>
      </c>
    </row>
    <row r="14" spans="2:9" x14ac:dyDescent="0.35">
      <c r="B14" t="s">
        <v>70</v>
      </c>
      <c r="C14" s="14" t="s">
        <v>171</v>
      </c>
      <c r="D14" s="13" t="s">
        <v>179</v>
      </c>
    </row>
    <row r="15" spans="2:9" x14ac:dyDescent="0.35">
      <c r="B15" t="s">
        <v>74</v>
      </c>
      <c r="C15" t="s">
        <v>173</v>
      </c>
      <c r="D15" s="13" t="s">
        <v>180</v>
      </c>
    </row>
    <row r="16" spans="2:9" x14ac:dyDescent="0.35">
      <c r="B16" t="s">
        <v>75</v>
      </c>
      <c r="C16" s="14" t="s">
        <v>174</v>
      </c>
      <c r="D16" s="13" t="s">
        <v>181</v>
      </c>
      <c r="E16" t="s">
        <v>185</v>
      </c>
    </row>
    <row r="17" spans="2:5" x14ac:dyDescent="0.35">
      <c r="B17" t="s">
        <v>76</v>
      </c>
      <c r="C17" s="14" t="s">
        <v>175</v>
      </c>
      <c r="D17" s="13" t="s">
        <v>182</v>
      </c>
      <c r="E17" t="s">
        <v>185</v>
      </c>
    </row>
    <row r="18" spans="2:5" x14ac:dyDescent="0.35">
      <c r="B18" t="s">
        <v>176</v>
      </c>
      <c r="C18" t="s">
        <v>177</v>
      </c>
      <c r="D18" s="13" t="s">
        <v>183</v>
      </c>
      <c r="E18" t="s">
        <v>185</v>
      </c>
    </row>
    <row r="22" spans="2:5" x14ac:dyDescent="0.35">
      <c r="B22" s="1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Topics</vt:lpstr>
      <vt:lpstr>Words</vt:lpstr>
      <vt:lpstr>Hoja1</vt:lpstr>
      <vt:lpstr>AB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ALBERTOTRELLES</dc:creator>
  <cp:lastModifiedBy>Alberto Corisongo Trelles Derteano</cp:lastModifiedBy>
  <dcterms:created xsi:type="dcterms:W3CDTF">2015-06-05T18:19:34Z</dcterms:created>
  <dcterms:modified xsi:type="dcterms:W3CDTF">2025-03-27T23:36:50Z</dcterms:modified>
</cp:coreProperties>
</file>